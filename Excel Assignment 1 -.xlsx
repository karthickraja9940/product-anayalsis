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D03FEF2CFA3F2AD/Documents/"/>
    </mc:Choice>
  </mc:AlternateContent>
  <xr:revisionPtr revIDLastSave="5" documentId="8_{3C8FC96B-46E3-46EE-A0D1-9FAAD95769D1}" xr6:coauthVersionLast="47" xr6:coauthVersionMax="47" xr10:uidLastSave="{3D140FD4-24A3-47CC-A73E-F22CD5D099FE}"/>
  <bookViews>
    <workbookView xWindow="-110" yWindow="-110" windowWidth="19420" windowHeight="103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K20" i="1"/>
  <c r="K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K10" i="1"/>
  <c r="K8" i="1"/>
  <c r="K6" i="1"/>
  <c r="K4" i="1"/>
  <c r="K2" i="1"/>
</calcChain>
</file>

<file path=xl/sharedStrings.xml><?xml version="1.0" encoding="utf-8"?>
<sst xmlns="http://schemas.openxmlformats.org/spreadsheetml/2006/main" count="177" uniqueCount="128">
  <si>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</si>
  <si>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</si>
  <si>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</si>
  <si>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</si>
  <si>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</si>
  <si>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</si>
  <si>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</si>
  <si>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</si>
  <si>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</si>
  <si>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</si>
  <si>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</si>
  <si>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</si>
  <si>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</si>
  <si>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</si>
  <si>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</si>
  <si>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</si>
  <si>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</si>
  <si>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</si>
  <si>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</si>
  <si>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</si>
  <si>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</si>
  <si>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</si>
  <si>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</si>
  <si>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</si>
  <si>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</si>
  <si>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</si>
  <si>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</si>
  <si>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</si>
  <si>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</si>
  <si>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</si>
  <si>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</si>
  <si>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</si>
  <si>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</si>
  <si>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</si>
  <si>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</si>
  <si>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</si>
  <si>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</si>
  <si>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</si>
  <si>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</si>
  <si>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</si>
  <si>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</si>
  <si>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</si>
  <si>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</si>
  <si>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</si>
  <si>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</si>
  <si>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</si>
  <si>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</si>
  <si>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</si>
  <si>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</si>
  <si>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</si>
  <si>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</si>
  <si>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</si>
  <si>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</si>
  <si>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</si>
  <si>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</si>
  <si>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</si>
  <si>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</si>
  <si>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</si>
  <si>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</si>
  <si>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</si>
  <si>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</si>
  <si>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</si>
  <si>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</si>
  <si>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</si>
  <si>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</si>
  <si>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</si>
  <si>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</si>
  <si>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</si>
  <si>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</si>
  <si>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</si>
  <si>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</si>
  <si>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</si>
  <si>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</si>
  <si>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</si>
  <si>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</si>
  <si>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</si>
  <si>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</si>
  <si>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</si>
  <si>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</si>
  <si>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</si>
  <si>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</si>
  <si>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</si>
  <si>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</si>
  <si>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</si>
  <si>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</si>
  <si>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</si>
  <si>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</si>
  <si>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</si>
  <si>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</si>
  <si>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</si>
  <si>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</si>
  <si>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</si>
  <si>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</si>
  <si>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dataset.</t>
  </si>
  <si>
    <t>SUM(D2:D35)</t>
  </si>
  <si>
    <t>Determine how many products exist in the dataset.</t>
  </si>
  <si>
    <t>COUNT(D1:D35)</t>
  </si>
  <si>
    <t>Calculate the average price of the products.</t>
  </si>
  <si>
    <t>AVERAGE(D2:D35)</t>
  </si>
  <si>
    <t>Identify the minimum price among all products.</t>
  </si>
  <si>
    <t>MIN(D2:D35)</t>
  </si>
  <si>
    <t>Identify the maximum price among all products.</t>
  </si>
  <si>
    <t>MAX(D2:D35)</t>
  </si>
  <si>
    <t>Price range</t>
  </si>
  <si>
    <t>● Use the IF function to categorize products based on their price:</t>
  </si>
  <si>
    <t>○ If Price ≥ $500 → classify as High Price</t>
  </si>
  <si>
    <t>○ If Price &lt; $500 → classify as Standard Price</t>
  </si>
  <si>
    <t>IF(D2&gt;100,"HIGH PRICE","STANDARD PRICE")</t>
  </si>
  <si>
    <t>Use the SUMIF function to calculate the total price of products in the</t>
  </si>
  <si>
    <t>Electronics category.</t>
  </si>
  <si>
    <t>SUMIF(F2;F35,"ELECTRONICS"D2;D35)</t>
  </si>
  <si>
    <t>Use the COUNTIF function to determine the number of products with a price</t>
  </si>
  <si>
    <t>less than $100.</t>
  </si>
  <si>
    <t>COUNTIF(D2;D35,"&lt;100")</t>
  </si>
  <si>
    <t>Use text functions to extract information from the Product ID column.</t>
  </si>
  <si>
    <t>● Create the following new columns:</t>
  </si>
  <si>
    <t>○ Create a new column named Day with the first 2 characters of each</t>
  </si>
  <si>
    <t>'Product ID' using the LEFT function.</t>
  </si>
  <si>
    <t>○ Create a new column named Country Code by extracting the last 2</t>
  </si>
  <si>
    <t>characters from the 'Product ID' column using the RIGHT function.</t>
  </si>
  <si>
    <t>○ Create a new column named Month by extracting the 4th to 6th</t>
  </si>
  <si>
    <t>characters from the 'Product ID' column</t>
  </si>
  <si>
    <t>Left</t>
  </si>
  <si>
    <t>Right</t>
  </si>
  <si>
    <t>Mid</t>
  </si>
  <si>
    <t>MID(A2,4,3)</t>
  </si>
  <si>
    <t>LEFT(A2,2)</t>
  </si>
  <si>
    <t>RIGHT(A2,2)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</si>
</sst>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inden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48DE0E-4040-402A-BC01-3F4F0F3B09D5}" name="Table2" displayName="Table2" ref="A1:J35" totalsRowShown="0" headerRowDxfId="11" dataDxfId="10">
  <tableColumns count="10">
    <tableColumn id="1" xr3:uid="{D4F82F99-00DB-48EE-BB47-58D60D90243E}" name="Product ID" dataDxfId="9"/>
    <tableColumn id="2" xr3:uid="{55BE6681-D9B2-4D3B-979E-4CC2A85BE5D1}" name="Product Name" dataDxfId="8"/>
    <tableColumn id="3" xr3:uid="{82E190DE-06EC-4E49-AE13-B42A8096EAC5}" name="Brand Name" dataDxfId="7"/>
    <tableColumn id="4" xr3:uid="{3B1DFB33-F720-40A8-92F3-C6AEF778E2CB}" name="Price ($)" dataDxfId="6"/>
    <tableColumn id="5" xr3:uid="{601D4058-D03A-491C-A273-4E8ECBDDE2FE}" name="Quantity" dataDxfId="5"/>
    <tableColumn id="6" xr3:uid="{4A8C86E1-E1F7-4ADB-A3A1-0C8F2432FBEB}" name="Category" dataDxfId="4"/>
    <tableColumn id="7" xr3:uid="{6414237D-8098-4A53-A67B-F5D023BD6604}" name="Price range" dataDxfId="3">
      <calculatedColumnFormula>IF(D2&gt;500,"high price","standard price")</calculatedColumnFormula>
    </tableColumn>
    <tableColumn id="8" xr3:uid="{BB63FCEE-1C96-47BA-859E-C84F56961CB8}" name="Left" dataDxfId="2">
      <calculatedColumnFormula>LEFT(A2,2)</calculatedColumnFormula>
    </tableColumn>
    <tableColumn id="9" xr3:uid="{A140D5C1-39A7-4932-985E-5ADC0AFC3E64}" name="Right" dataDxfId="1">
      <calculatedColumnFormula>RIGHT(A2,2)</calculatedColumnFormula>
    </tableColumn>
    <tableColumn id="10" xr3:uid="{838BC6D3-7EAB-4F53-852C-673B1CED0B26}" name="Mid" dataDxfId="0">
      <calculatedColumnFormula>MID(A2,4,3)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zoomScale="72" workbookViewId="0">
      <selection activeCell="P1" sqref="P1"/>
    </sheetView>
  </sheetViews>
  <sheetFormatPr defaultColWidth="12.6328125" defaultRowHeight="15" customHeight="1" x14ac:dyDescent="0.25"/>
  <cols>
    <col min="2" max="2" width="15.26953125" customWidth="1"/>
    <col min="3" max="3" width="13.6328125" customWidth="1"/>
    <col min="7" max="7" width="13.089843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103</v>
      </c>
      <c r="H1" s="1" t="s">
        <v>122</v>
      </c>
      <c r="I1" s="1" t="s">
        <v>123</v>
      </c>
      <c r="J1" s="1" t="s">
        <v>124</v>
      </c>
      <c r="K1" t="s">
        <v>93</v>
      </c>
    </row>
    <row r="2" spans="1:14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 t="str">
        <f>IF(D2&gt;500,"high price","standard price")</f>
        <v>high price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  <c r="K2">
        <f>SUM(D2:D2:D35)</f>
        <v>10100</v>
      </c>
      <c r="M2" s="5" t="s">
        <v>94</v>
      </c>
    </row>
    <row r="3" spans="1:14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 t="str">
        <f t="shared" ref="G3:G35" si="0">IF(D3&gt;500,"high price","standard price")</f>
        <v>standard price</v>
      </c>
      <c r="H3" s="7" t="str">
        <f t="shared" ref="H3:H35" si="1">LEFT(A3,2)</f>
        <v>15</v>
      </c>
      <c r="I3" s="7" t="str">
        <f t="shared" ref="I3:I35" si="2">RIGHT(A3,2)</f>
        <v>US</v>
      </c>
      <c r="J3" s="7" t="str">
        <f t="shared" ref="J3:J35" si="3">MID(A3,4,3)</f>
        <v>FEB</v>
      </c>
      <c r="K3" t="s">
        <v>95</v>
      </c>
    </row>
    <row r="4" spans="1:14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7" t="str">
        <f t="shared" si="3"/>
        <v>MAR</v>
      </c>
      <c r="K4">
        <f>COUNT(D1:D35)</f>
        <v>34</v>
      </c>
      <c r="M4" s="5" t="s">
        <v>96</v>
      </c>
    </row>
    <row r="5" spans="1:14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7" t="str">
        <f t="shared" si="3"/>
        <v>APR</v>
      </c>
      <c r="K5" t="s">
        <v>97</v>
      </c>
    </row>
    <row r="6" spans="1:14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7" t="str">
        <f t="shared" si="3"/>
        <v>MAY</v>
      </c>
      <c r="K6">
        <f>AVERAGE(D2:D35)</f>
        <v>297.05882352941177</v>
      </c>
      <c r="M6" s="5" t="s">
        <v>98</v>
      </c>
    </row>
    <row r="7" spans="1:14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7" t="str">
        <f t="shared" si="3"/>
        <v>JUN</v>
      </c>
      <c r="K7" t="s">
        <v>99</v>
      </c>
    </row>
    <row r="8" spans="1:14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7" t="str">
        <f t="shared" si="3"/>
        <v>JUL</v>
      </c>
      <c r="K8">
        <f>MIN(D2:D35)</f>
        <v>30</v>
      </c>
      <c r="M8" s="5" t="s">
        <v>100</v>
      </c>
    </row>
    <row r="9" spans="1:14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7" t="str">
        <f t="shared" si="3"/>
        <v>AUG</v>
      </c>
      <c r="K9" t="s">
        <v>101</v>
      </c>
    </row>
    <row r="10" spans="1:14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 t="str">
        <f t="shared" si="0"/>
        <v>standard price</v>
      </c>
      <c r="H10" s="7" t="str">
        <f t="shared" si="1"/>
        <v>05</v>
      </c>
      <c r="I10" s="7" t="str">
        <f t="shared" si="2"/>
        <v>UK</v>
      </c>
      <c r="J10" s="7" t="str">
        <f t="shared" si="3"/>
        <v>SEP</v>
      </c>
      <c r="K10">
        <f>MAX(D2:D35)</f>
        <v>1000</v>
      </c>
      <c r="M10" s="5" t="s">
        <v>102</v>
      </c>
    </row>
    <row r="11" spans="1:14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7" t="str">
        <f t="shared" si="3"/>
        <v>OCT</v>
      </c>
      <c r="K11" t="s">
        <v>104</v>
      </c>
    </row>
    <row r="12" spans="1:14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7" t="str">
        <f t="shared" si="3"/>
        <v>JUN</v>
      </c>
      <c r="K12" t="s">
        <v>105</v>
      </c>
    </row>
    <row r="13" spans="1:14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7" t="str">
        <f t="shared" si="3"/>
        <v>NOV</v>
      </c>
      <c r="K13" t="s">
        <v>106</v>
      </c>
    </row>
    <row r="14" spans="1:14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7" t="str">
        <f t="shared" si="3"/>
        <v>DEC</v>
      </c>
      <c r="K14" s="8" t="s">
        <v>107</v>
      </c>
      <c r="L14" s="6"/>
      <c r="M14" s="6"/>
      <c r="N14" s="6"/>
    </row>
    <row r="15" spans="1:14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7" t="str">
        <f t="shared" si="3"/>
        <v>FEB</v>
      </c>
      <c r="K15" t="s">
        <v>108</v>
      </c>
    </row>
    <row r="16" spans="1:14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7" t="str">
        <f t="shared" si="3"/>
        <v>APR</v>
      </c>
      <c r="K16" t="s">
        <v>109</v>
      </c>
    </row>
    <row r="17" spans="1:15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7" t="str">
        <f t="shared" si="3"/>
        <v>AUG</v>
      </c>
      <c r="K17">
        <f>SUMIF(F9:F35,"electronics",D2:D35)</f>
        <v>4240</v>
      </c>
      <c r="L17" s="9" t="s">
        <v>110</v>
      </c>
      <c r="M17" s="9"/>
      <c r="N17" s="9"/>
    </row>
    <row r="18" spans="1:15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7" t="str">
        <f t="shared" si="3"/>
        <v>AUG</v>
      </c>
      <c r="K18" t="s">
        <v>111</v>
      </c>
    </row>
    <row r="19" spans="1:15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7" t="str">
        <f t="shared" si="3"/>
        <v>JAN</v>
      </c>
      <c r="K19" t="s">
        <v>112</v>
      </c>
    </row>
    <row r="20" spans="1:15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7" t="str">
        <f t="shared" si="3"/>
        <v>MAR</v>
      </c>
      <c r="K20">
        <f>COUNTIF(D2:D35,"&lt;100")</f>
        <v>11</v>
      </c>
      <c r="L20" s="9" t="s">
        <v>113</v>
      </c>
      <c r="M20" s="9"/>
    </row>
    <row r="21" spans="1:15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7" t="str">
        <f t="shared" si="3"/>
        <v>AUG</v>
      </c>
      <c r="K21" t="s">
        <v>114</v>
      </c>
    </row>
    <row r="22" spans="1:15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7" t="str">
        <f t="shared" si="3"/>
        <v>MAY</v>
      </c>
      <c r="K22" t="s">
        <v>115</v>
      </c>
    </row>
    <row r="23" spans="1:15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7" t="str">
        <f t="shared" si="3"/>
        <v>JAN</v>
      </c>
      <c r="K23" t="s">
        <v>116</v>
      </c>
    </row>
    <row r="24" spans="1:15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7" t="str">
        <f t="shared" si="3"/>
        <v>JUL</v>
      </c>
      <c r="K24" t="s">
        <v>117</v>
      </c>
      <c r="N24" s="5" t="s">
        <v>126</v>
      </c>
    </row>
    <row r="25" spans="1:15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3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7" t="str">
        <f t="shared" si="3"/>
        <v>AUG</v>
      </c>
      <c r="K25" t="s">
        <v>118</v>
      </c>
    </row>
    <row r="26" spans="1:15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7" t="str">
        <f t="shared" si="3"/>
        <v>SEP</v>
      </c>
      <c r="K26" t="s">
        <v>119</v>
      </c>
      <c r="O26" s="5" t="s">
        <v>127</v>
      </c>
    </row>
    <row r="27" spans="1:15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7" t="str">
        <f t="shared" si="3"/>
        <v>JUN</v>
      </c>
      <c r="K27" t="s">
        <v>120</v>
      </c>
    </row>
    <row r="28" spans="1:15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7" t="str">
        <f t="shared" si="3"/>
        <v>JUL</v>
      </c>
      <c r="K28" t="s">
        <v>121</v>
      </c>
      <c r="N28" s="5" t="s">
        <v>125</v>
      </c>
    </row>
    <row r="29" spans="1:15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3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7" t="str">
        <f t="shared" si="3"/>
        <v>APR</v>
      </c>
    </row>
    <row r="30" spans="1:15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7" t="str">
        <f t="shared" si="3"/>
        <v>MAR</v>
      </c>
    </row>
    <row r="31" spans="1:15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7" t="str">
        <f t="shared" si="3"/>
        <v>APR</v>
      </c>
    </row>
    <row r="32" spans="1:15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7" t="str">
        <f t="shared" si="3"/>
        <v>MAY</v>
      </c>
    </row>
    <row r="33" spans="1:10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7" t="str">
        <f t="shared" si="3"/>
        <v>DEC</v>
      </c>
    </row>
    <row r="34" spans="1:10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7" t="str">
        <f t="shared" si="3"/>
        <v>JUN</v>
      </c>
    </row>
    <row r="35" spans="1:10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7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L17:N17"/>
    <mergeCell ref="L20:M2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karthick raja</cp:lastModifiedBy>
  <dcterms:created xsi:type="dcterms:W3CDTF">2026-09-20T15:56:25Z</dcterms:created>
  <dcterms:modified xsi:type="dcterms:W3CDTF">2026-09-21T13:01:55Z</dcterms:modified>
</cp:coreProperties>
</file>